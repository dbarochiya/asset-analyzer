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hruvbarochiya/Workspace/analyzer/"/>
    </mc:Choice>
  </mc:AlternateContent>
  <xr:revisionPtr revIDLastSave="0" documentId="13_ncr:1_{B5968FEF-D20B-B645-A796-0D9B4C650E21}" xr6:coauthVersionLast="47" xr6:coauthVersionMax="47" xr10:uidLastSave="{00000000-0000-0000-0000-000000000000}"/>
  <bookViews>
    <workbookView xWindow="0" yWindow="680" windowWidth="29400" windowHeight="18440" xr2:uid="{94A80A81-D0D5-C542-9CA4-76A5363B7320}"/>
  </bookViews>
  <sheets>
    <sheet name="zerodha-me" sheetId="8" r:id="rId1"/>
    <sheet name="paytm-mf" sheetId="2" r:id="rId2"/>
  </sheets>
  <definedNames>
    <definedName name="AMD">#REF!</definedName>
    <definedName name="DD">#REF!</definedName>
    <definedName name="DMRG">#REF!</definedName>
    <definedName name="DMXIRR">#REF!</definedName>
    <definedName name="DOUBLE">#REF!</definedName>
    <definedName name="DX">#REF!</definedName>
    <definedName name="loanrepay">#REF!</definedName>
    <definedName name="MGR">#REF!</definedName>
    <definedName name="MRG">#REF!</definedName>
    <definedName name="MXIRR">#REF!</definedName>
    <definedName name="sellvalu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6" i="8"/>
  <c r="G5" i="8"/>
  <c r="G4" i="8"/>
  <c r="G3" i="8"/>
  <c r="G2" i="8"/>
  <c r="G7" i="8"/>
  <c r="G8" i="8"/>
  <c r="G9" i="8"/>
  <c r="G10" i="8"/>
  <c r="G11" i="8"/>
  <c r="A12" i="8" l="1"/>
  <c r="A14" i="2"/>
  <c r="G5" i="2" l="1"/>
  <c r="J5" i="2" s="1"/>
  <c r="B2" i="8"/>
  <c r="B3" i="8"/>
  <c r="B4" i="8"/>
  <c r="B5" i="8"/>
  <c r="B6" i="8"/>
  <c r="B7" i="8"/>
  <c r="B8" i="8"/>
  <c r="B9" i="8"/>
  <c r="B10" i="8"/>
  <c r="B11" i="8"/>
  <c r="B7" i="2"/>
  <c r="B2" i="2"/>
  <c r="B3" i="2"/>
  <c r="B4" i="2"/>
  <c r="B5" i="2"/>
  <c r="B6" i="2"/>
  <c r="B8" i="2"/>
  <c r="B9" i="2"/>
  <c r="B10" i="2"/>
  <c r="B11" i="2"/>
  <c r="B12" i="2"/>
  <c r="B13" i="2"/>
  <c r="G6" i="2"/>
  <c r="J6" i="2" s="1"/>
  <c r="G7" i="2"/>
  <c r="J7" i="2" s="1"/>
  <c r="G8" i="2"/>
  <c r="J8" i="2" s="1"/>
  <c r="G9" i="2"/>
  <c r="J9" i="2" s="1"/>
  <c r="G10" i="2"/>
  <c r="J10" i="2" s="1"/>
  <c r="G11" i="2"/>
  <c r="G12" i="2"/>
  <c r="J12" i="2" s="1"/>
  <c r="G13" i="2"/>
  <c r="J13" i="2" s="1"/>
  <c r="H6" i="2"/>
  <c r="H7" i="2"/>
  <c r="H8" i="2"/>
  <c r="H9" i="2"/>
  <c r="H10" i="2"/>
  <c r="H11" i="2"/>
  <c r="H12" i="2"/>
  <c r="H13" i="2"/>
  <c r="I6" i="2"/>
  <c r="I7" i="2"/>
  <c r="I8" i="2"/>
  <c r="I9" i="2"/>
  <c r="I10" i="2"/>
  <c r="I11" i="2"/>
  <c r="I12" i="2"/>
  <c r="I13" i="2"/>
  <c r="J11" i="2"/>
  <c r="J3" i="8"/>
  <c r="J2" i="8"/>
  <c r="J4" i="8"/>
  <c r="J5" i="8"/>
  <c r="J6" i="8"/>
  <c r="J7" i="8"/>
  <c r="J8" i="8"/>
  <c r="J9" i="8"/>
  <c r="J10" i="8"/>
  <c r="J11" i="8"/>
  <c r="H5" i="8"/>
  <c r="H6" i="8"/>
  <c r="H7" i="8"/>
  <c r="H8" i="8"/>
  <c r="H9" i="8"/>
  <c r="H10" i="8"/>
  <c r="H11" i="8"/>
  <c r="I5" i="8"/>
  <c r="I6" i="8"/>
  <c r="I7" i="8"/>
  <c r="I8" i="8"/>
  <c r="I9" i="8"/>
  <c r="I10" i="8"/>
  <c r="I11" i="8"/>
  <c r="H4" i="8"/>
  <c r="I4" i="8"/>
  <c r="I3" i="8"/>
  <c r="H3" i="8"/>
  <c r="I2" i="8"/>
  <c r="H2" i="8"/>
  <c r="I5" i="2"/>
  <c r="H5" i="2"/>
  <c r="I4" i="2"/>
  <c r="H4" i="2"/>
  <c r="G4" i="2"/>
  <c r="J4" i="2" s="1"/>
  <c r="I3" i="2"/>
  <c r="H3" i="2"/>
  <c r="J3" i="2"/>
  <c r="I2" i="2"/>
  <c r="H2" i="2"/>
  <c r="J2" i="2"/>
  <c r="C14" i="2" a="1"/>
  <c r="C12" i="8" a="1"/>
  <c r="C14" i="2" l="1"/>
  <c r="B14" i="2" s="1"/>
  <c r="C12" i="8"/>
  <c r="K9" i="8"/>
  <c r="L9" i="8" s="1"/>
  <c r="K10" i="8"/>
  <c r="L10" i="8" s="1"/>
  <c r="K11" i="8"/>
  <c r="L11" i="8" s="1"/>
  <c r="K8" i="8"/>
  <c r="L8" i="8" s="1"/>
  <c r="K9" i="2"/>
  <c r="L9" i="2" s="1"/>
  <c r="K10" i="2"/>
  <c r="L10" i="2" s="1"/>
  <c r="K8" i="2"/>
  <c r="L8" i="2" s="1"/>
  <c r="K7" i="2"/>
  <c r="L7" i="2" s="1"/>
  <c r="K11" i="2"/>
  <c r="L11" i="2" s="1"/>
  <c r="K6" i="2"/>
  <c r="L6" i="2" s="1"/>
  <c r="K13" i="2"/>
  <c r="L13" i="2" s="1"/>
  <c r="K12" i="2"/>
  <c r="L12" i="2" s="1"/>
  <c r="K6" i="8"/>
  <c r="L6" i="8" s="1"/>
  <c r="K7" i="8"/>
  <c r="L7" i="8" s="1"/>
  <c r="K5" i="8"/>
  <c r="L5" i="8" s="1"/>
  <c r="K4" i="8"/>
  <c r="L4" i="8" s="1"/>
  <c r="K2" i="8"/>
  <c r="L2" i="8" s="1"/>
  <c r="K3" i="8"/>
  <c r="L3" i="8" s="1"/>
  <c r="K4" i="2"/>
  <c r="L4" i="2" s="1"/>
  <c r="K5" i="2"/>
  <c r="L5" i="2" s="1"/>
  <c r="K2" i="2"/>
  <c r="L2" i="2" s="1"/>
  <c r="L14" i="2" s="1"/>
  <c r="K3" i="2"/>
  <c r="L3" i="2" s="1"/>
  <c r="B12" i="8" l="1"/>
  <c r="L1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50C5F-AA8B-A74A-A7DB-B44AFED30E18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B8D912D5-F33E-5C4D-B374-0EA0A4D0CFC5}" keepAlive="1" name="Query - paytm-eq" description="Connection to the 'paytm-eq' query in the workbook." type="5" refreshedVersion="0" background="1">
    <dbPr connection="Provider=Microsoft.Mashup.OleDb.1;Data Source=$Workbook$;Location=paytm-eq;Extended Properties=&quot;&quot;" command="SELECT * FROM [paytm-eq]"/>
  </connection>
  <connection id="3" xr16:uid="{69D5BF38-2207-3A4F-9E5B-0A5D0E817645}" keepAlive="1" name="Query - paytm-mf" description="Connection to the 'paytm-mf' query in the workbook." type="5" refreshedVersion="8" background="1" saveData="1">
    <dbPr connection="Provider=Microsoft.Mashup.OleDb.1;Data Source=$Workbook$;Location=paytm-mf;Extended Properties=&quot;&quot;" command="SELECT * FROM [paytm-mf]"/>
  </connection>
  <connection id="4" xr16:uid="{54F098BA-D55D-FD43-B281-98747819ED6C}" keepAlive="1" name="Query - Precize" description="Connection to the 'Precize' query in the workbook." type="5" refreshedVersion="8" background="1" saveData="1">
    <dbPr connection="Provider=Microsoft.Mashup.OleDb.1;Data Source=$Workbook$;Location=Precize;Extended Properties=&quot;&quot;" command="SELECT * FROM [Precize]"/>
  </connection>
  <connection id="5" xr16:uid="{C794E32D-A0FA-4141-9436-C45C65CB79AC}" keepAlive="1" name="Query - upstox-eq" description="Connection to the 'upstox-eq' query in the workbook." type="5" refreshedVersion="8" background="1" saveData="1">
    <dbPr connection="Provider=Microsoft.Mashup.OleDb.1;Data Source=$Workbook$;Location=upstox-eq;Extended Properties=&quot;&quot;" command="SELECT * FROM [upstox-eq]"/>
  </connection>
  <connection id="6" xr16:uid="{DB5DCC39-0C2B-EE45-9449-36473F0D3E24}" keepAlive="1" name="Query - upstox-mf" description="Connection to the 'upstox-mf' query in the workbook." type="5" refreshedVersion="8" background="1" saveData="1">
    <dbPr connection="Provider=Microsoft.Mashup.OleDb.1;Data Source=$Workbook$;Location=upstox-mf;Extended Properties=&quot;&quot;" command="SELECT * FROM [upstox-mf]"/>
  </connection>
  <connection id="7" xr16:uid="{09D21A1E-4B31-8D4D-9588-25B9BCAA87B6}" keepAlive="1" name="Query - vested" description="Connection to the 'vested' query in the workbook." type="5" refreshedVersion="8" background="1" saveData="1">
    <dbPr connection="Provider=Microsoft.Mashup.OleDb.1;Data Source=$Workbook$;Location=vested;Extended Properties=&quot;&quot;" command="SELECT * FROM [vested]"/>
  </connection>
  <connection id="8" xr16:uid="{88F213B7-B06F-9D4D-B9D8-0C39EF7763D6}" keepAlive="1" name="Query - zerodha-me(1)" description="Connection to the 'zerodha-me' query in the workbook." type="5" refreshedVersion="8" background="1" saveData="1">
    <dbPr connection="Provider=Microsoft.Mashup.OleDb.1;Data Source=$Workbook$;Location=zerodha-me;Extended Properties=&quot;&quot;" command="SELECT * FROM [zerodha-me]"/>
  </connection>
  <connection id="9" xr16:uid="{7DDE795C-138B-3B4F-8D05-5E7FD0191EBD}" keepAlive="1" name="Query - zerodha-mom" description="Connection to the 'zerodha-mom' query in the workbook." type="5" refreshedVersion="8" background="1" saveData="1">
    <dbPr connection="Provider=Microsoft.Mashup.OleDb.1;Data Source=$Workbook$;Location=zerodha-mom;Extended Properties=&quot;&quot;" command="SELECT * FROM [zerodha-mo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<sst xmlns="http://schemas.openxmlformats.org/spreadsheetml/2006/main" count="26" uniqueCount="13">
  <si>
    <t>Date</t>
  </si>
  <si>
    <t>Free Cash</t>
  </si>
  <si>
    <t>Invested</t>
  </si>
  <si>
    <t>PV</t>
  </si>
  <si>
    <t>Total Invested</t>
  </si>
  <si>
    <t>Total PV</t>
  </si>
  <si>
    <t>Platform</t>
  </si>
  <si>
    <t>Cashflow</t>
  </si>
  <si>
    <t>Gain Unrealised</t>
  </si>
  <si>
    <t>Gain Realised</t>
  </si>
  <si>
    <t>Gain Total</t>
  </si>
  <si>
    <t>Returns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</si>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</sst>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6" formatCode="0.00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1" applyFont="1"/>
    <xf numFmtId="166" fontId="0" fillId="0" borderId="0" xfId="0" applyNumberFormat="1"/>
    <xf numFmtId="10" fontId="2" fillId="0" borderId="0" xfId="0" applyNumberFormat="1" applyFont="1"/>
  </cellXfs>
  <cellStyles count="2">
    <cellStyle name="Currency" xfId="1" builtinId="4"/>
    <cellStyle name="Normal" xfId="0" builtinId="0"/>
  </cellStyles>
  <dxfs count="27">
    <dxf>
      <numFmt numFmtId="14" formatCode="0.00%"/>
    </dxf>
    <dxf>
      <numFmt numFmtId="34" formatCode="_(&quot;₹&quot;* #,##0.00_);_(&quot;₹&quot;* \(#,##0.00\);_(&quot;₹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19" formatCode="dd/mm/yy"/>
    </dxf>
    <dxf>
      <numFmt numFmtId="34" formatCode="_(&quot;₹&quot;* #,##0.00_);_(&quot;₹&quot;* \(#,##0.00\);_(&quot;₹&quot;* &quot;-&quot;??_);_(@_)"/>
    </dxf>
    <dxf>
      <numFmt numFmtId="14" formatCode="0.00%"/>
    </dxf>
    <dxf>
      <numFmt numFmtId="14" formatCode="0.00%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34" formatCode="_(&quot;₹&quot;* #,##0.00_);_(&quot;₹&quot;* \(#,##0.00\);_(&quot;₹&quot;* &quot;-&quot;??_);_(@_)"/>
    </dxf>
    <dxf>
      <numFmt numFmtId="166" formatCode="0.000%"/>
    </dxf>
    <dxf>
      <numFmt numFmtId="0" formatCode="General"/>
    </dxf>
    <dxf>
      <numFmt numFmtId="19" formatCode="dd/mm/yy"/>
    </dxf>
    <dxf>
      <numFmt numFmtId="19" formatCode="dd/mm/yy"/>
    </dxf>
    <dxf>
      <numFmt numFmtId="34" formatCode="_(&quot;₹&quot;* #,##0.00_);_(&quot;₹&quot;* \(#,##0.00\);_(&quot;₹&quot;* &quot;-&quot;??_);_(@_)"/>
    </dxf>
    <dxf>
      <numFmt numFmtId="14" formatCode="0.00%"/>
    </dxf>
    <dxf>
      <numFmt numFmtId="34" formatCode="_(&quot;₹&quot;* #,##0.00_);_(&quot;₹&quot;* \(#,##0.00\);_(&quot;₹&quot;* &quot;-&quot;??_);_(@_)"/>
    </dxf>
    <dxf>
      <numFmt numFmtId="0" formatCode="General"/>
    </dxf>
    <dxf>
      <numFmt numFmtId="19" formatCode="dd/mm/yy"/>
    </dxf>
    <dxf>
      <numFmt numFmtId="34" formatCode="_(&quot;₹&quot;* #,##0.00_);_(&quot;₹&quot;* \(#,##0.00\);_(&quot;₹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DCEBA-EC2D-6449-9856-8C6D8B30F49F}" name="Table15" displayName="Table15" ref="A1:M12" totalsRowCount="1" headerRowDxfId="26">
  <autoFilter ref="A1:M11" xr:uid="{38EDCEBA-EC2D-6449-9856-8C6D8B30F49F}"/>
  <tableColumns count="13">
    <tableColumn id="11" xr3:uid="{99A7B64F-8AB2-684E-AFFA-DBF9B1DEFB7C}" name="Date" totalsRowFunction="custom" dataDxfId="25" totalsRowDxfId="3">
      <totalsRowFormula>TODAY()</totalsRowFormula>
    </tableColumn>
    <tableColumn id="12" xr3:uid="{F6C1C97E-85A6-3C49-A456-CE7A1570DE64}" name="Platform" totalsRowFunction="custom" dataDxfId="24" totalsRowDxfId="2">
      <calculatedColumnFormula>"zerodha(me)"</calculatedColumnFormula>
      <totalsRowFormula>XIRR(Table15[[#Data],[#Totals],[Cashflow]],Table15[[#Data],[#Totals],[Date]])</totalsRowFormula>
    </tableColumn>
    <tableColumn id="1" xr3:uid="{CF1308D3-FB3F-2E44-AE02-F0014D6496E3}" name="Cashflow" totalsRowFunction="custom" totalsRowDxfId="1" dataCellStyle="Currency">
      <totalsRowFormula array="1">-INDIRECT(ADDRESS(ROW()-1,COLUMN()+5))</totalsRowFormula>
    </tableColumn>
    <tableColumn id="4" xr3:uid="{CCA49CAC-ADAB-F740-BEAB-05C58C1CD8EC}" name="Free Cash" dataCellStyle="Currency"/>
    <tableColumn id="5" xr3:uid="{6DD01188-48D0-1F4A-B806-8E6AC76634E0}" name="Invested" dataCellStyle="Currency"/>
    <tableColumn id="6" xr3:uid="{430DBF19-42B6-954B-8F31-F39F90354EBA}" name="PV" dataCellStyle="Currency"/>
    <tableColumn id="2" xr3:uid="{81CD9093-01EC-D546-BDC2-83406FF331F4}" name="Total Invested" dataDxfId="23" dataCellStyle="Currency">
      <calculatedColumnFormula>SUM($C$2:C2)</calculatedColumnFormula>
    </tableColumn>
    <tableColumn id="3" xr3:uid="{38F472FB-EC52-9E43-A532-6F34E0CF3589}" name="Total PV" dataCellStyle="Currency">
      <calculatedColumnFormula>Table15[[#This Row],[PV]]+Table15[[#This Row],[Free Cash]]</calculatedColumnFormula>
    </tableColumn>
    <tableColumn id="7" xr3:uid="{1DC7250A-8E5F-CB4E-9BB0-675DCFC1F39E}" name="Gain Unrealised" dataCellStyle="Currency">
      <calculatedColumnFormula>Table15[[#This Row],[PV]]-Table15[[#This Row],[Invested]]</calculatedColumnFormula>
    </tableColumn>
    <tableColumn id="8" xr3:uid="{4875D5BC-E15B-4340-A58D-CC85ACFF3944}" name="Gain Realised" dataCellStyle="Currency">
      <calculatedColumnFormula>Table15[[#This Row],[Invested]]+Table15[[#This Row],[Free Cash]]-Table15[[#This Row],[Total Invested]]</calculatedColumnFormula>
    </tableColumn>
    <tableColumn id="9" xr3:uid="{5CAF9EB1-62FC-F744-A545-72081B7D9268}" name="Gain Total" dataCellStyle="Currency">
      <calculatedColumnFormula>Table15[[#This Row],[Gain Unrealised]]+Table15[[#This Row],[Gain Realised]]</calculatedColumnFormula>
    </tableColumn>
    <tableColumn id="10" xr3:uid="{ECD8E396-F4D8-6546-A3EF-C2427F002AFD}" name="Returns" totalsRowFunction="average" dataDxfId="22" totalsRowDxfId="0">
      <calculatedColumnFormula>Table15[[#This Row],[Gain Total]]/Table15[[#This Row],[Total Invested]]</calculatedColumnFormula>
    </tableColumn>
    <tableColumn id="14" xr3:uid="{45158D9C-57E9-EC4D-BCAD-FFE98FD9D0E5}" name="XIRR" dataCellStyle="Currency"/>
  </tableColumns>
  <tableStyleInfo name="TableStyleMedium1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B7C7C2-092D-214B-BC77-C6887DB86345}" name="Table17" displayName="Table17" ref="A1:M14" totalsRowCount="1" headerRowDxfId="21">
  <autoFilter ref="A1:M13" xr:uid="{31B7C7C2-092D-214B-BC77-C6887DB86345}"/>
  <tableColumns count="13">
    <tableColumn id="11" xr3:uid="{F3895BCD-ADB3-3248-B46A-CA29EF750717}" name="Date" totalsRowFunction="custom" dataDxfId="20" totalsRowDxfId="19">
      <totalsRowFormula>TODAY()</totalsRowFormula>
    </tableColumn>
    <tableColumn id="12" xr3:uid="{0485E884-6DC9-2F4D-BD4F-9A8EAAD60580}" name="Platform" totalsRowFunction="custom" dataDxfId="18" totalsRowDxfId="17">
      <calculatedColumnFormula>"paytm(mf)"</calculatedColumnFormula>
      <totalsRowFormula>XIRR(Table17[[#Data],[#Totals],[Cashflow]],Table17[[#Data],[#Totals],[Date]])</totalsRowFormula>
    </tableColumn>
    <tableColumn id="1" xr3:uid="{F81717A2-597F-704B-BE5F-6D41F7E3EA10}" name="Cashflow" totalsRowFunction="custom" dataDxfId="16" totalsRowDxfId="15">
      <totalsRowFormula array="1">-INDIRECT(ADDRESS(ROW()-1,COLUMN()+5))</totalsRowFormula>
    </tableColumn>
    <tableColumn id="4" xr3:uid="{8CD5EE3A-9553-6C4A-9A60-3D7E9968702A}" name="Free Cash" dataDxfId="14"/>
    <tableColumn id="5" xr3:uid="{08CA1534-2033-A54B-9724-287F49FD95CB}" name="Invested" dataDxfId="13"/>
    <tableColumn id="6" xr3:uid="{3D0A7110-2EE7-7C4D-92D5-4AFD122724F5}" name="PV" dataDxfId="12"/>
    <tableColumn id="2" xr3:uid="{36B42EBC-2066-944A-ABB5-A6C09DC89C29}" name="Total Invested" dataDxfId="11">
      <calculatedColumnFormula>SUM($C$2:C2)</calculatedColumnFormula>
    </tableColumn>
    <tableColumn id="3" xr3:uid="{3A73FC61-8FE8-4942-8CBC-603192BDA8CE}" name="Total PV" dataDxfId="10">
      <calculatedColumnFormula>Table17[[#This Row],[PV]]+Table17[[#This Row],[Free Cash]]</calculatedColumnFormula>
    </tableColumn>
    <tableColumn id="7" xr3:uid="{06E363EF-38C4-4A4E-81E8-7008A6D57E6A}" name="Gain Unrealised" dataDxfId="9">
      <calculatedColumnFormula>Table17[[#This Row],[PV]]-Table17[[#This Row],[Invested]]</calculatedColumnFormula>
    </tableColumn>
    <tableColumn id="8" xr3:uid="{A1DBF87C-018D-E449-8347-421024EE8446}" name="Gain Realised" dataDxfId="8">
      <calculatedColumnFormula>Table17[[#This Row],[Invested]]+Table17[[#This Row],[Free Cash]]-Table17[[#This Row],[Total Invested]]</calculatedColumnFormula>
    </tableColumn>
    <tableColumn id="9" xr3:uid="{3BDAACA5-3B14-0C4E-8D34-2E31E7DB21B7}" name="Gain Total" dataDxfId="7">
      <calculatedColumnFormula>Table17[[#This Row],[Gain Unrealised]]+Table17[[#This Row],[Gain Realised]]</calculatedColumnFormula>
    </tableColumn>
    <tableColumn id="10" xr3:uid="{9D68C619-8E53-4449-8EB8-EB8A3BE715EC}" name="Returns" totalsRowFunction="average" dataDxfId="6" totalsRowDxfId="5">
      <calculatedColumnFormula>Table17[[#This Row],[Gain Total]]/Table17[[#This Row],[Total Invested]]</calculatedColumnFormula>
    </tableColumn>
    <tableColumn id="13" xr3:uid="{475C8329-A924-2040-BC56-AA13134835E2}" name="XIRR" dataDxfId="4"/>
  </tableColumns>
  <tableStyleInfo name="TableStyleMedium1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A2F8-718F-A746-9130-64442696DCBC}">
  <sheetPr codeName="Sheet3"/>
  <dimension ref="A1:M12"/>
  <sheetViews>
    <sheetView tabSelected="1" workbookViewId="0">
      <selection activeCell="C30" sqref="C30"/>
    </sheetView>
  </sheetViews>
  <sheetFormatPr baseColWidth="10" defaultRowHeight="16" x14ac:dyDescent="0.2"/>
  <cols>
    <col min="1" max="12" width="16.6640625" customWidth="1"/>
    <col min="13" max="13" width="16" customWidth="1"/>
  </cols>
  <sheetData>
    <row r="1" spans="1:13" x14ac:dyDescent="0.2">
      <c r="A1" s="3" t="s">
        <v>0</v>
      </c>
      <c r="B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">
      <c r="A2" s="3">
        <v>43920</v>
      </c>
      <c r="B2" t="str">
        <f t="shared" ref="B2:B11" si="0">"zerodha(me)"</f>
        <v>zerodha(me)</v>
      </c>
      <c r="C2" s="4">
        <v>10000</v>
      </c>
      <c r="D2" s="4">
        <v>242.57</v>
      </c>
      <c r="E2" s="4">
        <v>9646.1</v>
      </c>
      <c r="F2" s="4">
        <v>10428.35</v>
      </c>
      <c r="G2" s="4">
        <f>SUM($C$2:C2)</f>
        <v>10000</v>
      </c>
      <c r="H2" s="4">
        <f>Table15[[#This Row],[PV]]+Table15[[#This Row],[Free Cash]]</f>
        <v>10670.92</v>
      </c>
      <c r="I2" s="4">
        <f>Table15[[#This Row],[PV]]-Table15[[#This Row],[Invested]]</f>
        <v>782.25</v>
      </c>
      <c r="J2" s="4">
        <f>Table15[[#This Row],[Invested]]+Table15[[#This Row],[Free Cash]]-Table15[[#This Row],[Total Invested]]</f>
        <v>-111.32999999999993</v>
      </c>
      <c r="K2" s="4">
        <f>Table15[[#This Row],[Gain Unrealised]]+Table15[[#This Row],[Gain Realised]]</f>
        <v>670.92000000000007</v>
      </c>
      <c r="L2" s="2">
        <f>Table15[[#This Row],[Gain Total]]/Table15[[#This Row],[Total Invested]]</f>
        <v>6.7092000000000013E-2</v>
      </c>
      <c r="M2" s="4"/>
    </row>
    <row r="3" spans="1:13" x14ac:dyDescent="0.2">
      <c r="A3" s="3">
        <v>43946</v>
      </c>
      <c r="B3" t="str">
        <f t="shared" si="0"/>
        <v>zerodha(me)</v>
      </c>
      <c r="C3" s="4">
        <v>5000</v>
      </c>
      <c r="D3" s="4">
        <v>5242.57</v>
      </c>
      <c r="E3" s="4">
        <v>9646.1</v>
      </c>
      <c r="F3" s="4">
        <v>12011.6</v>
      </c>
      <c r="G3" s="4">
        <f>SUM($C$2:C3)</f>
        <v>15000</v>
      </c>
      <c r="H3" s="4">
        <f>Table15[[#This Row],[PV]]+Table15[[#This Row],[Free Cash]]</f>
        <v>17254.169999999998</v>
      </c>
      <c r="I3" s="4">
        <f>Table15[[#This Row],[PV]]-Table15[[#This Row],[Invested]]</f>
        <v>2365.5</v>
      </c>
      <c r="J3" s="4">
        <f>Table15[[#This Row],[Invested]]+Table15[[#This Row],[Free Cash]]-Table15[[#This Row],[Total Invested]]</f>
        <v>-111.32999999999993</v>
      </c>
      <c r="K3" s="4">
        <f>Table15[[#This Row],[Gain Unrealised]]+Table15[[#This Row],[Gain Realised]]</f>
        <v>2254.17</v>
      </c>
      <c r="L3" s="2">
        <f>Table15[[#This Row],[Gain Total]]/Table15[[#This Row],[Total Invested]]</f>
        <v>0.15027799999999999</v>
      </c>
      <c r="M3" s="4"/>
    </row>
    <row r="4" spans="1:13" x14ac:dyDescent="0.2">
      <c r="A4" s="3">
        <v>43976</v>
      </c>
      <c r="B4" t="str">
        <f t="shared" si="0"/>
        <v>zerodha(me)</v>
      </c>
      <c r="C4" s="4">
        <v>0</v>
      </c>
      <c r="D4" s="4">
        <v>4367.4399999999996</v>
      </c>
      <c r="E4" s="4">
        <v>10793</v>
      </c>
      <c r="F4" s="4">
        <v>12291.05</v>
      </c>
      <c r="G4" s="4">
        <f>SUM($C$2:C4)</f>
        <v>15000</v>
      </c>
      <c r="H4" s="4">
        <f>Table15[[#This Row],[PV]]+Table15[[#This Row],[Free Cash]]</f>
        <v>16658.489999999998</v>
      </c>
      <c r="I4" s="4">
        <f>Table15[[#This Row],[PV]]-Table15[[#This Row],[Invested]]</f>
        <v>1498.0499999999993</v>
      </c>
      <c r="J4" s="4">
        <f>Table15[[#This Row],[Invested]]+Table15[[#This Row],[Free Cash]]-Table15[[#This Row],[Total Invested]]</f>
        <v>160.43999999999869</v>
      </c>
      <c r="K4" s="4">
        <f>Table15[[#This Row],[Gain Unrealised]]+Table15[[#This Row],[Gain Realised]]</f>
        <v>1658.489999999998</v>
      </c>
      <c r="L4" s="2">
        <f>Table15[[#This Row],[Gain Total]]/Table15[[#This Row],[Total Invested]]</f>
        <v>0.11056599999999986</v>
      </c>
      <c r="M4" s="4"/>
    </row>
    <row r="5" spans="1:13" x14ac:dyDescent="0.2">
      <c r="A5" s="3">
        <v>44007</v>
      </c>
      <c r="B5" t="str">
        <f t="shared" si="0"/>
        <v>zerodha(me)</v>
      </c>
      <c r="C5" s="4">
        <v>0</v>
      </c>
      <c r="D5" s="4">
        <v>267.27999999999997</v>
      </c>
      <c r="E5" s="4">
        <v>10793</v>
      </c>
      <c r="F5" s="4">
        <v>13167.7</v>
      </c>
      <c r="G5" s="4">
        <f>SUM($C$2:C5)</f>
        <v>15000</v>
      </c>
      <c r="H5" s="4">
        <f>Table15[[#This Row],[PV]]+Table15[[#This Row],[Free Cash]]</f>
        <v>13434.980000000001</v>
      </c>
      <c r="I5" s="4">
        <f>Table15[[#This Row],[PV]]-Table15[[#This Row],[Invested]]</f>
        <v>2374.7000000000007</v>
      </c>
      <c r="J5" s="4">
        <f>Table15[[#This Row],[Invested]]+Table15[[#This Row],[Free Cash]]-Table15[[#This Row],[Total Invested]]</f>
        <v>-3939.7199999999993</v>
      </c>
      <c r="K5" s="4">
        <f>Table15[[#This Row],[Gain Unrealised]]+Table15[[#This Row],[Gain Realised]]</f>
        <v>-1565.0199999999986</v>
      </c>
      <c r="L5" s="2">
        <f>Table15[[#This Row],[Gain Total]]/Table15[[#This Row],[Total Invested]]</f>
        <v>-0.10433466666666658</v>
      </c>
      <c r="M5" s="4"/>
    </row>
    <row r="6" spans="1:13" x14ac:dyDescent="0.2">
      <c r="A6" s="3">
        <v>44042</v>
      </c>
      <c r="B6" t="str">
        <f t="shared" si="0"/>
        <v>zerodha(me)</v>
      </c>
      <c r="C6" s="4">
        <v>15000</v>
      </c>
      <c r="D6" s="4">
        <v>580.45000000000005</v>
      </c>
      <c r="E6" s="4">
        <v>29557.200000000001</v>
      </c>
      <c r="F6" s="4">
        <v>29901</v>
      </c>
      <c r="G6" s="4">
        <f>SUM($C$2:C6)</f>
        <v>30000</v>
      </c>
      <c r="H6" s="4">
        <f>Table15[[#This Row],[PV]]+Table15[[#This Row],[Free Cash]]</f>
        <v>30481.45</v>
      </c>
      <c r="I6" s="4">
        <f>Table15[[#This Row],[PV]]-Table15[[#This Row],[Invested]]</f>
        <v>343.79999999999927</v>
      </c>
      <c r="J6" s="4">
        <f>Table15[[#This Row],[Invested]]+Table15[[#This Row],[Free Cash]]-Table15[[#This Row],[Total Invested]]</f>
        <v>137.65000000000146</v>
      </c>
      <c r="K6" s="4">
        <f>Table15[[#This Row],[Gain Unrealised]]+Table15[[#This Row],[Gain Realised]]</f>
        <v>481.45000000000073</v>
      </c>
      <c r="L6" s="2">
        <f>Table15[[#This Row],[Gain Total]]/Table15[[#This Row],[Total Invested]]</f>
        <v>1.6048333333333359E-2</v>
      </c>
      <c r="M6" s="4"/>
    </row>
    <row r="7" spans="1:13" x14ac:dyDescent="0.2">
      <c r="A7" s="3">
        <v>44074</v>
      </c>
      <c r="B7" t="str">
        <f t="shared" si="0"/>
        <v>zerodha(me)</v>
      </c>
      <c r="C7" s="4">
        <v>0</v>
      </c>
      <c r="D7" s="4">
        <v>67.06</v>
      </c>
      <c r="E7" s="4">
        <v>29463.200000000001</v>
      </c>
      <c r="F7" s="4">
        <v>32816.400000000001</v>
      </c>
      <c r="G7" s="4">
        <f>SUM($C$2:C7)</f>
        <v>30000</v>
      </c>
      <c r="H7" s="4">
        <f>Table15[[#This Row],[PV]]+Table15[[#This Row],[Free Cash]]</f>
        <v>32883.46</v>
      </c>
      <c r="I7" s="4">
        <f>Table15[[#This Row],[PV]]-Table15[[#This Row],[Invested]]</f>
        <v>3353.2000000000007</v>
      </c>
      <c r="J7" s="4">
        <f>Table15[[#This Row],[Invested]]+Table15[[#This Row],[Free Cash]]-Table15[[#This Row],[Total Invested]]</f>
        <v>-469.73999999999796</v>
      </c>
      <c r="K7" s="4">
        <f>Table15[[#This Row],[Gain Unrealised]]+Table15[[#This Row],[Gain Realised]]</f>
        <v>2883.4600000000028</v>
      </c>
      <c r="L7" s="2">
        <f>Table15[[#This Row],[Gain Total]]/Table15[[#This Row],[Total Invested]]</f>
        <v>9.6115333333333428E-2</v>
      </c>
      <c r="M7" s="4"/>
    </row>
    <row r="8" spans="1:13" x14ac:dyDescent="0.2">
      <c r="A8" s="3">
        <v>44099</v>
      </c>
      <c r="B8" t="str">
        <f t="shared" si="0"/>
        <v>zerodha(me)</v>
      </c>
      <c r="C8" s="4">
        <v>5000</v>
      </c>
      <c r="D8" s="4">
        <v>410.87</v>
      </c>
      <c r="E8" s="4">
        <v>34113.199999999997</v>
      </c>
      <c r="F8" s="4">
        <v>35427.9</v>
      </c>
      <c r="G8" s="4">
        <f>SUM($C$2:C8)</f>
        <v>35000</v>
      </c>
      <c r="H8" s="4">
        <f>Table15[[#This Row],[PV]]+Table15[[#This Row],[Free Cash]]</f>
        <v>35838.770000000004</v>
      </c>
      <c r="I8" s="4">
        <f>Table15[[#This Row],[PV]]-Table15[[#This Row],[Invested]]</f>
        <v>1314.7000000000044</v>
      </c>
      <c r="J8" s="4">
        <f>Table15[[#This Row],[Invested]]+Table15[[#This Row],[Free Cash]]-Table15[[#This Row],[Total Invested]]</f>
        <v>-475.93000000000029</v>
      </c>
      <c r="K8" s="4">
        <f>Table15[[#This Row],[Gain Unrealised]]+Table15[[#This Row],[Gain Realised]]</f>
        <v>838.77000000000407</v>
      </c>
      <c r="L8" s="2">
        <f>Table15[[#This Row],[Gain Total]]/Table15[[#This Row],[Total Invested]]</f>
        <v>2.396485714285726E-2</v>
      </c>
      <c r="M8" s="4"/>
    </row>
    <row r="9" spans="1:13" x14ac:dyDescent="0.2">
      <c r="A9" s="3">
        <v>44135</v>
      </c>
      <c r="B9" t="str">
        <f t="shared" si="0"/>
        <v>zerodha(me)</v>
      </c>
      <c r="C9" s="4">
        <v>6000</v>
      </c>
      <c r="D9" s="4">
        <v>25.66</v>
      </c>
      <c r="E9" s="4">
        <v>40490.15</v>
      </c>
      <c r="F9" s="4">
        <v>43920.75</v>
      </c>
      <c r="G9" s="4">
        <f>SUM($C$2:C9)</f>
        <v>41000</v>
      </c>
      <c r="H9" s="4">
        <f>Table15[[#This Row],[PV]]+Table15[[#This Row],[Free Cash]]</f>
        <v>43946.41</v>
      </c>
      <c r="I9" s="4">
        <f>Table15[[#This Row],[PV]]-Table15[[#This Row],[Invested]]</f>
        <v>3430.5999999999985</v>
      </c>
      <c r="J9" s="4">
        <f>Table15[[#This Row],[Invested]]+Table15[[#This Row],[Free Cash]]-Table15[[#This Row],[Total Invested]]</f>
        <v>-484.18999999999505</v>
      </c>
      <c r="K9" s="4">
        <f>Table15[[#This Row],[Gain Unrealised]]+Table15[[#This Row],[Gain Realised]]</f>
        <v>2946.4100000000035</v>
      </c>
      <c r="L9" s="2">
        <f>Table15[[#This Row],[Gain Total]]/Table15[[#This Row],[Total Invested]]</f>
        <v>7.1863658536585454E-2</v>
      </c>
      <c r="M9" s="4"/>
    </row>
    <row r="10" spans="1:13" x14ac:dyDescent="0.2">
      <c r="A10" s="3">
        <v>44160</v>
      </c>
      <c r="B10" t="str">
        <f t="shared" si="0"/>
        <v>zerodha(me)</v>
      </c>
      <c r="C10" s="4">
        <v>19000</v>
      </c>
      <c r="D10" s="4">
        <v>3795.89</v>
      </c>
      <c r="E10" s="4">
        <v>57434.05</v>
      </c>
      <c r="F10" s="4">
        <v>72366.600000000006</v>
      </c>
      <c r="G10" s="4">
        <f>SUM($C$2:C10)</f>
        <v>60000</v>
      </c>
      <c r="H10" s="4">
        <f>Table15[[#This Row],[PV]]+Table15[[#This Row],[Free Cash]]</f>
        <v>76162.490000000005</v>
      </c>
      <c r="I10" s="4">
        <f>Table15[[#This Row],[PV]]-Table15[[#This Row],[Invested]]</f>
        <v>14932.550000000003</v>
      </c>
      <c r="J10" s="4">
        <f>Table15[[#This Row],[Invested]]+Table15[[#This Row],[Free Cash]]-Table15[[#This Row],[Total Invested]]</f>
        <v>1229.9400000000023</v>
      </c>
      <c r="K10" s="4">
        <f>Table15[[#This Row],[Gain Unrealised]]+Table15[[#This Row],[Gain Realised]]</f>
        <v>16162.490000000005</v>
      </c>
      <c r="L10" s="2">
        <f>Table15[[#This Row],[Gain Total]]/Table15[[#This Row],[Total Invested]]</f>
        <v>0.2693748333333334</v>
      </c>
      <c r="M10" s="4"/>
    </row>
    <row r="11" spans="1:13" x14ac:dyDescent="0.2">
      <c r="A11" s="3">
        <v>44196</v>
      </c>
      <c r="B11" t="str">
        <f t="shared" si="0"/>
        <v>zerodha(me)</v>
      </c>
      <c r="C11" s="4">
        <v>13000</v>
      </c>
      <c r="D11" s="4">
        <v>38062.230000000003</v>
      </c>
      <c r="E11" s="4">
        <v>52713.65</v>
      </c>
      <c r="F11" s="4">
        <v>55790.2</v>
      </c>
      <c r="G11" s="4">
        <f>SUM($C$2:C11)</f>
        <v>73000</v>
      </c>
      <c r="H11" s="4">
        <f>Table15[[#This Row],[PV]]+Table15[[#This Row],[Free Cash]]</f>
        <v>93852.43</v>
      </c>
      <c r="I11" s="4">
        <f>Table15[[#This Row],[PV]]-Table15[[#This Row],[Invested]]</f>
        <v>3076.5499999999956</v>
      </c>
      <c r="J11" s="4">
        <f>Table15[[#This Row],[Invested]]+Table15[[#This Row],[Free Cash]]-Table15[[#This Row],[Total Invested]]</f>
        <v>17775.880000000005</v>
      </c>
      <c r="K11" s="4">
        <f>Table15[[#This Row],[Gain Unrealised]]+Table15[[#This Row],[Gain Realised]]</f>
        <v>20852.43</v>
      </c>
      <c r="L11" s="2">
        <f>Table15[[#This Row],[Gain Total]]/Table15[[#This Row],[Total Invested]]</f>
        <v>0.28564972602739724</v>
      </c>
      <c r="M11" s="4"/>
    </row>
    <row r="12" spans="1:13" x14ac:dyDescent="0.2">
      <c r="A12" s="3">
        <f ca="1">TODAY()</f>
        <v>46100</v>
      </c>
      <c r="B12" s="6">
        <f ca="1">XIRR(Table15[[#Data],[#Totals],[Cashflow]],Table15[[#Data],[#Totals],[Date]])</f>
        <v>4.6632680296897891E-2</v>
      </c>
      <c r="C12" s="1" cm="1">
        <f t="array" aca="1" ref="C12" ca="1">-INDIRECT(ADDRESS(ROW()-1,COLUMN()+5))</f>
        <v>-93852.43</v>
      </c>
      <c r="L12" s="2">
        <f>SUBTOTAL(101,Table15[Returns])</f>
        <v>9.8661807504017346E-2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D31C-EF91-D943-B6AF-DA7EDA3B3159}">
  <sheetPr codeName="Sheet4"/>
  <dimension ref="A1:M14"/>
  <sheetViews>
    <sheetView zoomScale="110" zoomScaleNormal="110" workbookViewId="0">
      <selection activeCell="C26" sqref="C26"/>
    </sheetView>
  </sheetViews>
  <sheetFormatPr baseColWidth="10" defaultRowHeight="16" x14ac:dyDescent="0.2"/>
  <cols>
    <col min="1" max="12" width="15.1640625" customWidth="1"/>
  </cols>
  <sheetData>
    <row r="1" spans="1:13" x14ac:dyDescent="0.2">
      <c r="A1" s="3" t="s">
        <v>0</v>
      </c>
      <c r="B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">
      <c r="A2" s="3">
        <v>43855</v>
      </c>
      <c r="B2" t="str">
        <f t="shared" ref="B2:B13" si="0">"paytm(mf)"</f>
        <v>paytm(mf)</v>
      </c>
      <c r="C2" s="1">
        <v>48000</v>
      </c>
      <c r="D2" s="1">
        <v>0</v>
      </c>
      <c r="E2" s="1">
        <v>48000</v>
      </c>
      <c r="F2" s="1">
        <v>48677</v>
      </c>
      <c r="G2" s="1">
        <f>SUM($C$2:C2)</f>
        <v>48000</v>
      </c>
      <c r="H2" s="1">
        <f>Table17[[#This Row],[PV]]+Table17[[#This Row],[Free Cash]]</f>
        <v>48677</v>
      </c>
      <c r="I2" s="1">
        <f>Table17[[#This Row],[PV]]-Table17[[#This Row],[Invested]]</f>
        <v>677</v>
      </c>
      <c r="J2" s="1">
        <f>Table17[[#This Row],[Invested]]+Table17[[#This Row],[Free Cash]]-Table17[[#This Row],[Total Invested]]</f>
        <v>0</v>
      </c>
      <c r="K2" s="1">
        <f>Table17[[#This Row],[Gain Unrealised]]+Table17[[#This Row],[Gain Realised]]</f>
        <v>677</v>
      </c>
      <c r="L2" s="2">
        <f>Table17[[#This Row],[Gain Total]]/Table17[[#This Row],[Total Invested]]</f>
        <v>1.4104166666666666E-2</v>
      </c>
      <c r="M2" s="1"/>
    </row>
    <row r="3" spans="1:13" x14ac:dyDescent="0.2">
      <c r="A3" s="3">
        <v>43886</v>
      </c>
      <c r="B3" t="str">
        <f t="shared" si="0"/>
        <v>paytm(mf)</v>
      </c>
      <c r="C3" s="1">
        <v>0</v>
      </c>
      <c r="D3" s="1">
        <v>0</v>
      </c>
      <c r="E3" s="1">
        <v>48000</v>
      </c>
      <c r="F3" s="1">
        <v>46487</v>
      </c>
      <c r="G3" s="1">
        <f>SUM($C$2:C3)</f>
        <v>48000</v>
      </c>
      <c r="H3" s="1">
        <f>Table17[[#This Row],[PV]]+Table17[[#This Row],[Free Cash]]</f>
        <v>46487</v>
      </c>
      <c r="I3" s="1">
        <f>Table17[[#This Row],[PV]]-Table17[[#This Row],[Invested]]</f>
        <v>-1513</v>
      </c>
      <c r="J3" s="1">
        <f>Table17[[#This Row],[Invested]]+Table17[[#This Row],[Free Cash]]-Table17[[#This Row],[Total Invested]]</f>
        <v>0</v>
      </c>
      <c r="K3" s="1">
        <f>Table17[[#This Row],[Gain Unrealised]]+Table17[[#This Row],[Gain Realised]]</f>
        <v>-1513</v>
      </c>
      <c r="L3" s="2">
        <f>Table17[[#This Row],[Gain Total]]/Table17[[#This Row],[Total Invested]]</f>
        <v>-3.1520833333333331E-2</v>
      </c>
      <c r="M3" s="1"/>
    </row>
    <row r="4" spans="1:13" x14ac:dyDescent="0.2">
      <c r="A4" s="3">
        <v>43920</v>
      </c>
      <c r="B4" t="str">
        <f t="shared" si="0"/>
        <v>paytm(mf)</v>
      </c>
      <c r="C4" s="1">
        <v>0</v>
      </c>
      <c r="D4" s="1">
        <v>0</v>
      </c>
      <c r="E4" s="1">
        <v>48000</v>
      </c>
      <c r="F4" s="1">
        <v>36019</v>
      </c>
      <c r="G4" s="1">
        <f>SUM($C$2:C4)</f>
        <v>48000</v>
      </c>
      <c r="H4" s="1">
        <f>Table17[[#This Row],[PV]]+Table17[[#This Row],[Free Cash]]</f>
        <v>36019</v>
      </c>
      <c r="I4" s="1">
        <f>Table17[[#This Row],[PV]]-Table17[[#This Row],[Invested]]</f>
        <v>-11981</v>
      </c>
      <c r="J4" s="1">
        <f>Table17[[#This Row],[Invested]]+Table17[[#This Row],[Free Cash]]-Table17[[#This Row],[Total Invested]]</f>
        <v>0</v>
      </c>
      <c r="K4" s="1">
        <f>Table17[[#This Row],[Gain Unrealised]]+Table17[[#This Row],[Gain Realised]]</f>
        <v>-11981</v>
      </c>
      <c r="L4" s="2">
        <f>Table17[[#This Row],[Gain Total]]/Table17[[#This Row],[Total Invested]]</f>
        <v>-0.24960416666666665</v>
      </c>
      <c r="M4" s="1"/>
    </row>
    <row r="5" spans="1:13" x14ac:dyDescent="0.2">
      <c r="A5" s="3">
        <v>43946</v>
      </c>
      <c r="B5" t="str">
        <f t="shared" si="0"/>
        <v>paytm(mf)</v>
      </c>
      <c r="C5" s="1">
        <v>0</v>
      </c>
      <c r="D5" s="1">
        <v>0</v>
      </c>
      <c r="E5" s="1">
        <v>48000</v>
      </c>
      <c r="F5" s="1">
        <v>40308</v>
      </c>
      <c r="G5" s="1">
        <f>SUM($C$2:C5)</f>
        <v>48000</v>
      </c>
      <c r="H5" s="1">
        <f>Table17[[#This Row],[PV]]+Table17[[#This Row],[Free Cash]]</f>
        <v>40308</v>
      </c>
      <c r="I5" s="1">
        <f>Table17[[#This Row],[PV]]-Table17[[#This Row],[Invested]]</f>
        <v>-7692</v>
      </c>
      <c r="J5" s="1">
        <f>Table17[[#This Row],[Invested]]+Table17[[#This Row],[Free Cash]]-Table17[[#This Row],[Total Invested]]</f>
        <v>0</v>
      </c>
      <c r="K5" s="1">
        <f>Table17[[#This Row],[Gain Unrealised]]+Table17[[#This Row],[Gain Realised]]</f>
        <v>-7692</v>
      </c>
      <c r="L5" s="2">
        <f>Table17[[#This Row],[Gain Total]]/Table17[[#This Row],[Total Invested]]</f>
        <v>-0.16025</v>
      </c>
      <c r="M5" s="1"/>
    </row>
    <row r="6" spans="1:13" x14ac:dyDescent="0.2">
      <c r="A6" s="3">
        <v>43976</v>
      </c>
      <c r="B6" t="str">
        <f t="shared" si="0"/>
        <v>paytm(mf)</v>
      </c>
      <c r="C6" s="1">
        <v>0</v>
      </c>
      <c r="D6" s="1">
        <v>0</v>
      </c>
      <c r="E6" s="1">
        <v>48000</v>
      </c>
      <c r="F6" s="1">
        <v>38872</v>
      </c>
      <c r="G6" s="1">
        <f>SUM($C$2:C6)</f>
        <v>48000</v>
      </c>
      <c r="H6" s="1">
        <f>Table17[[#This Row],[PV]]+Table17[[#This Row],[Free Cash]]</f>
        <v>38872</v>
      </c>
      <c r="I6" s="1">
        <f>Table17[[#This Row],[PV]]-Table17[[#This Row],[Invested]]</f>
        <v>-9128</v>
      </c>
      <c r="J6" s="1">
        <f>Table17[[#This Row],[Invested]]+Table17[[#This Row],[Free Cash]]-Table17[[#This Row],[Total Invested]]</f>
        <v>0</v>
      </c>
      <c r="K6" s="1">
        <f>Table17[[#This Row],[Gain Unrealised]]+Table17[[#This Row],[Gain Realised]]</f>
        <v>-9128</v>
      </c>
      <c r="L6" s="2">
        <f>Table17[[#This Row],[Gain Total]]/Table17[[#This Row],[Total Invested]]</f>
        <v>-0.19016666666666668</v>
      </c>
      <c r="M6" s="1"/>
    </row>
    <row r="7" spans="1:13" x14ac:dyDescent="0.2">
      <c r="A7" s="3">
        <v>44007</v>
      </c>
      <c r="B7" t="str">
        <f>"paytm(mf)"</f>
        <v>paytm(mf)</v>
      </c>
      <c r="C7" s="1">
        <v>0</v>
      </c>
      <c r="D7" s="1">
        <v>0</v>
      </c>
      <c r="E7" s="1">
        <v>48000</v>
      </c>
      <c r="F7" s="1">
        <v>41261</v>
      </c>
      <c r="G7" s="1">
        <f>SUM($C$2:C7)</f>
        <v>48000</v>
      </c>
      <c r="H7" s="1">
        <f>Table17[[#This Row],[PV]]+Table17[[#This Row],[Free Cash]]</f>
        <v>41261</v>
      </c>
      <c r="I7" s="1">
        <f>Table17[[#This Row],[PV]]-Table17[[#This Row],[Invested]]</f>
        <v>-6739</v>
      </c>
      <c r="J7" s="1">
        <f>Table17[[#This Row],[Invested]]+Table17[[#This Row],[Free Cash]]-Table17[[#This Row],[Total Invested]]</f>
        <v>0</v>
      </c>
      <c r="K7" s="1">
        <f>Table17[[#This Row],[Gain Unrealised]]+Table17[[#This Row],[Gain Realised]]</f>
        <v>-6739</v>
      </c>
      <c r="L7" s="2">
        <f>Table17[[#This Row],[Gain Total]]/Table17[[#This Row],[Total Invested]]</f>
        <v>-0.14039583333333333</v>
      </c>
      <c r="M7" s="1"/>
    </row>
    <row r="8" spans="1:13" x14ac:dyDescent="0.2">
      <c r="A8" s="3">
        <v>44042</v>
      </c>
      <c r="B8" t="str">
        <f t="shared" si="0"/>
        <v>paytm(mf)</v>
      </c>
      <c r="C8" s="1">
        <v>6000</v>
      </c>
      <c r="D8" s="1">
        <v>0</v>
      </c>
      <c r="E8" s="1">
        <v>54000</v>
      </c>
      <c r="F8" s="1">
        <v>49671</v>
      </c>
      <c r="G8" s="1">
        <f>SUM($C$2:C8)</f>
        <v>54000</v>
      </c>
      <c r="H8" s="1">
        <f>Table17[[#This Row],[PV]]+Table17[[#This Row],[Free Cash]]</f>
        <v>49671</v>
      </c>
      <c r="I8" s="1">
        <f>Table17[[#This Row],[PV]]-Table17[[#This Row],[Invested]]</f>
        <v>-4329</v>
      </c>
      <c r="J8" s="1">
        <f>Table17[[#This Row],[Invested]]+Table17[[#This Row],[Free Cash]]-Table17[[#This Row],[Total Invested]]</f>
        <v>0</v>
      </c>
      <c r="K8" s="1">
        <f>Table17[[#This Row],[Gain Unrealised]]+Table17[[#This Row],[Gain Realised]]</f>
        <v>-4329</v>
      </c>
      <c r="L8" s="2">
        <f>Table17[[#This Row],[Gain Total]]/Table17[[#This Row],[Total Invested]]</f>
        <v>-8.0166666666666664E-2</v>
      </c>
      <c r="M8" s="1"/>
    </row>
    <row r="9" spans="1:13" x14ac:dyDescent="0.2">
      <c r="A9" s="3">
        <v>44074</v>
      </c>
      <c r="B9" t="str">
        <f t="shared" si="0"/>
        <v>paytm(mf)</v>
      </c>
      <c r="C9" s="1">
        <v>10000</v>
      </c>
      <c r="D9" s="1">
        <v>0</v>
      </c>
      <c r="E9" s="1">
        <v>64000</v>
      </c>
      <c r="F9" s="1">
        <v>59489</v>
      </c>
      <c r="G9" s="1">
        <f>SUM($C$2:C9)</f>
        <v>64000</v>
      </c>
      <c r="H9" s="1">
        <f>Table17[[#This Row],[PV]]+Table17[[#This Row],[Free Cash]]</f>
        <v>59489</v>
      </c>
      <c r="I9" s="1">
        <f>Table17[[#This Row],[PV]]-Table17[[#This Row],[Invested]]</f>
        <v>-4511</v>
      </c>
      <c r="J9" s="1">
        <f>Table17[[#This Row],[Invested]]+Table17[[#This Row],[Free Cash]]-Table17[[#This Row],[Total Invested]]</f>
        <v>0</v>
      </c>
      <c r="K9" s="1">
        <f>Table17[[#This Row],[Gain Unrealised]]+Table17[[#This Row],[Gain Realised]]</f>
        <v>-4511</v>
      </c>
      <c r="L9" s="2">
        <f>Table17[[#This Row],[Gain Total]]/Table17[[#This Row],[Total Invested]]</f>
        <v>-7.0484375000000002E-2</v>
      </c>
      <c r="M9" s="1"/>
    </row>
    <row r="10" spans="1:13" x14ac:dyDescent="0.2">
      <c r="A10" s="3">
        <v>44099</v>
      </c>
      <c r="B10" t="str">
        <f t="shared" si="0"/>
        <v>paytm(mf)</v>
      </c>
      <c r="C10" s="1">
        <v>6000</v>
      </c>
      <c r="D10" s="1">
        <v>0</v>
      </c>
      <c r="E10" s="1">
        <v>70000</v>
      </c>
      <c r="F10" s="1">
        <v>63609</v>
      </c>
      <c r="G10" s="1">
        <f>SUM($C$2:C10)</f>
        <v>70000</v>
      </c>
      <c r="H10" s="1">
        <f>Table17[[#This Row],[PV]]+Table17[[#This Row],[Free Cash]]</f>
        <v>63609</v>
      </c>
      <c r="I10" s="1">
        <f>Table17[[#This Row],[PV]]-Table17[[#This Row],[Invested]]</f>
        <v>-6391</v>
      </c>
      <c r="J10" s="1">
        <f>Table17[[#This Row],[Invested]]+Table17[[#This Row],[Free Cash]]-Table17[[#This Row],[Total Invested]]</f>
        <v>0</v>
      </c>
      <c r="K10" s="1">
        <f>Table17[[#This Row],[Gain Unrealised]]+Table17[[#This Row],[Gain Realised]]</f>
        <v>-6391</v>
      </c>
      <c r="L10" s="2">
        <f>Table17[[#This Row],[Gain Total]]/Table17[[#This Row],[Total Invested]]</f>
        <v>-9.1300000000000006E-2</v>
      </c>
      <c r="M10" s="1"/>
    </row>
    <row r="11" spans="1:13" x14ac:dyDescent="0.2">
      <c r="A11" s="3">
        <v>44135</v>
      </c>
      <c r="B11" t="str">
        <f t="shared" si="0"/>
        <v>paytm(mf)</v>
      </c>
      <c r="C11" s="1">
        <v>13000</v>
      </c>
      <c r="D11" s="1">
        <v>0</v>
      </c>
      <c r="E11" s="1">
        <v>83000</v>
      </c>
      <c r="F11" s="1">
        <v>77960</v>
      </c>
      <c r="G11" s="1">
        <f>SUM($C$2:C11)</f>
        <v>83000</v>
      </c>
      <c r="H11" s="1">
        <f>Table17[[#This Row],[PV]]+Table17[[#This Row],[Free Cash]]</f>
        <v>77960</v>
      </c>
      <c r="I11" s="1">
        <f>Table17[[#This Row],[PV]]-Table17[[#This Row],[Invested]]</f>
        <v>-5040</v>
      </c>
      <c r="J11" s="1">
        <f>Table17[[#This Row],[Invested]]+Table17[[#This Row],[Free Cash]]-Table17[[#This Row],[Total Invested]]</f>
        <v>0</v>
      </c>
      <c r="K11" s="1">
        <f>Table17[[#This Row],[Gain Unrealised]]+Table17[[#This Row],[Gain Realised]]</f>
        <v>-5040</v>
      </c>
      <c r="L11" s="2">
        <f>Table17[[#This Row],[Gain Total]]/Table17[[#This Row],[Total Invested]]</f>
        <v>-6.0722891566265064E-2</v>
      </c>
      <c r="M11" s="1"/>
    </row>
    <row r="12" spans="1:13" x14ac:dyDescent="0.2">
      <c r="A12" s="3">
        <v>44160</v>
      </c>
      <c r="B12" t="str">
        <f t="shared" si="0"/>
        <v>paytm(mf)</v>
      </c>
      <c r="C12" s="1">
        <v>16000</v>
      </c>
      <c r="D12" s="1">
        <v>0</v>
      </c>
      <c r="E12" s="1">
        <v>99000</v>
      </c>
      <c r="F12" s="1">
        <v>101500</v>
      </c>
      <c r="G12" s="1">
        <f>SUM($C$2:C12)</f>
        <v>99000</v>
      </c>
      <c r="H12" s="1">
        <f>Table17[[#This Row],[PV]]+Table17[[#This Row],[Free Cash]]</f>
        <v>101500</v>
      </c>
      <c r="I12" s="1">
        <f>Table17[[#This Row],[PV]]-Table17[[#This Row],[Invested]]</f>
        <v>2500</v>
      </c>
      <c r="J12" s="1">
        <f>Table17[[#This Row],[Invested]]+Table17[[#This Row],[Free Cash]]-Table17[[#This Row],[Total Invested]]</f>
        <v>0</v>
      </c>
      <c r="K12" s="1">
        <f>Table17[[#This Row],[Gain Unrealised]]+Table17[[#This Row],[Gain Realised]]</f>
        <v>2500</v>
      </c>
      <c r="L12" s="2">
        <f>Table17[[#This Row],[Gain Total]]/Table17[[#This Row],[Total Invested]]</f>
        <v>2.5252525252525252E-2</v>
      </c>
      <c r="M12" s="1"/>
    </row>
    <row r="13" spans="1:13" x14ac:dyDescent="0.2">
      <c r="A13" s="3">
        <v>44196</v>
      </c>
      <c r="B13" t="str">
        <f t="shared" si="0"/>
        <v>paytm(mf)</v>
      </c>
      <c r="C13" s="1">
        <v>37000</v>
      </c>
      <c r="D13" s="1">
        <v>0</v>
      </c>
      <c r="E13" s="1">
        <v>136000</v>
      </c>
      <c r="F13" s="1">
        <v>153171</v>
      </c>
      <c r="G13" s="1">
        <f>SUM($C$2:C13)</f>
        <v>136000</v>
      </c>
      <c r="H13" s="1">
        <f>Table17[[#This Row],[PV]]+Table17[[#This Row],[Free Cash]]</f>
        <v>153171</v>
      </c>
      <c r="I13" s="1">
        <f>Table17[[#This Row],[PV]]-Table17[[#This Row],[Invested]]</f>
        <v>17171</v>
      </c>
      <c r="J13" s="1">
        <f>Table17[[#This Row],[Invested]]+Table17[[#This Row],[Free Cash]]-Table17[[#This Row],[Total Invested]]</f>
        <v>0</v>
      </c>
      <c r="K13" s="1">
        <f>Table17[[#This Row],[Gain Unrealised]]+Table17[[#This Row],[Gain Realised]]</f>
        <v>17171</v>
      </c>
      <c r="L13" s="2">
        <f>Table17[[#This Row],[Gain Total]]/Table17[[#This Row],[Total Invested]]</f>
        <v>0.12625735294117646</v>
      </c>
      <c r="M13" s="1"/>
    </row>
    <row r="14" spans="1:13" x14ac:dyDescent="0.2">
      <c r="A14" s="3">
        <f ca="1">TODAY()</f>
        <v>46100</v>
      </c>
      <c r="B14" s="5">
        <f ca="1">XIRR(Table17[[#Data],[#Totals],[Cashflow]],Table17[[#Data],[#Totals],[Date]])</f>
        <v>2.1342185139656068E-2</v>
      </c>
      <c r="C14" s="1" cm="1">
        <f t="array" aca="1" ref="C14" ca="1">-INDIRECT(ADDRESS(ROW()-1,COLUMN()+5))</f>
        <v>-153171</v>
      </c>
      <c r="L14" s="2">
        <f>SUBTOTAL(101,Table17[Returns])</f>
        <v>-7.5749782364380278E-2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3E7C05-C1E1-3C4F-8B89-B373ADE69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zerodha-me</vt:lpstr>
      <vt:lpstr>paytm-mf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BAROCHIYA</dc:creator>
  <cp:lastModifiedBy>DHRUV BAROCHIYA</cp:lastModifiedBy>
  <dcterms:created xsi:type="dcterms:W3CDTF">2024-08-16T12:27:11Z</dcterms:created>
  <dcterms:modified xsi:type="dcterms:W3CDTF">2026-03-19T06:52:48Z</dcterms:modified>
</cp:coreProperties>
</file>